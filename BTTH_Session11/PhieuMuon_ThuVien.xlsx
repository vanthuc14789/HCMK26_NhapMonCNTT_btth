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<sst xmlns="http://schemas.openxmlformats.org/spreadsheetml/2006/main" count="40" uniqueCount="31">
  <si>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</si>
  <si>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</si>
  <si>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</si>
  <si>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</si>
  <si>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</si>
  <si>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</si>
  <si>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Thống kê (ngoài vùng dữ liệu)</t>
  </si>
  <si>
    <t xml:space="preserve">SV001</t>
  </si>
  <si>
    <t xml:space="preserve">Nguyễn Văn An</t>
  </si>
  <si>
    <t xml:space="preserve">S001</t>
  </si>
  <si>
    <t xml:space="preserve">Đang mượn</t>
  </si>
  <si>
    <t xml:space="preserve">Tổng số phiếu</t>
  </si>
  <si>
    <t xml:space="preserve">SV002</t>
  </si>
  <si>
    <t xml:space="preserve">Trần Thị Bình</t>
  </si>
  <si>
    <t xml:space="preserve">S002</t>
  </si>
  <si>
    <t xml:space="preserve">Quá hạn</t>
  </si>
  <si>
    <t xml:space="preserve">SV003</t>
  </si>
  <si>
    <t xml:space="preserve">Lê Văn Cường</t>
  </si>
  <si>
    <t xml:space="preserve">S003</t>
  </si>
  <si>
    <t xml:space="preserve">Đã trả</t>
  </si>
  <si>
    <t xml:space="preserve">SV004</t>
  </si>
  <si>
    <t xml:space="preserve">Phạm Thu Hà</t>
  </si>
  <si>
    <t xml:space="preserve">S099</t>
  </si>
  <si>
    <t xml:space="preserve">Ghi chú: tiêu đề "Danh sách mượn sách tháng 10" được đưa vào tên file/sheet, không merge ô trong bảng.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</si>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</sst>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4" t="n">
        <v>46296</v>
      </c>
      <c r="E2" s="3" t="s">
        <v>10</v>
      </c>
      <c r="F2" s="3" t="str">
        <f aca="false">IFERROR(VLOOKUP(C2,DanhMucSach!$A$2:$C$4,2,FALSE()),"Không tìm thấy sách")</f>
        <v>Lập Trình C Căn Bản</v>
      </c>
      <c r="H2" s="5" t="s">
        <v>11</v>
      </c>
      <c r="I2" s="2" t="n">
        <f aca="false">COUNTA(A2:A5)</f>
        <v>4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4" t="n">
        <v>46298</v>
      </c>
      <c r="E3" s="3" t="s">
        <v>15</v>
      </c>
      <c r="F3" s="3" t="str">
        <f aca="false">IFERROR(VLOOKUP(C3,DanhMucSach!$A$2:$C$4,2,FALSE()),"Không tìm thấy sách")</f>
        <v>Giải Tích 1</v>
      </c>
      <c r="H3" s="5" t="s">
        <v>10</v>
      </c>
      <c r="I3" s="2" t="n">
        <f aca="false">COUNTIF($E$2:$E$5,H3)</f>
        <v>2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D4" s="4" t="n">
        <v>46305</v>
      </c>
      <c r="E4" s="3" t="s">
        <v>19</v>
      </c>
      <c r="F4" s="3" t="str">
        <f aca="false">IFERROR(VLOOKUP(C4,DanhMucSach!$A$2:$C$4,2,FALSE()),"Không tìm thấy sách")</f>
        <v>Kỹ Năng Mềm</v>
      </c>
      <c r="H4" s="5" t="s">
        <v>15</v>
      </c>
      <c r="I4" s="2" t="n">
        <f aca="false">COUNTIF($E$2:$E$5,H4)</f>
        <v>1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22</v>
      </c>
      <c r="D5" s="4" t="n">
        <v>46307</v>
      </c>
      <c r="E5" s="3" t="s">
        <v>10</v>
      </c>
      <c r="F5" s="3" t="str">
        <f aca="false">IFERROR(VLOOKUP(C5,DanhMucSach!$A$2:$C$4,2,FALSE()),"Không tìm thấy sách")</f>
        <v>Không tìm thấy sách</v>
      </c>
      <c r="H5" s="5" t="s">
        <v>19</v>
      </c>
      <c r="I5" s="2" t="n">
        <f aca="false">COUNTIF($E$2:$E$5,H5)</f>
        <v>1</v>
      </c>
    </row>
    <row r="7" customFormat="false" ht="15" hidden="false" customHeight="false" outlineLevel="0" collapsed="false">
      <c r="H7" s="6" t="s">
        <v>23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7" t="s">
        <v>2</v>
      </c>
      <c r="B1" s="7" t="s">
        <v>5</v>
      </c>
      <c r="C1" s="7" t="s">
        <v>24</v>
      </c>
    </row>
    <row r="2" customFormat="false" ht="15" hidden="false" customHeight="false" outlineLevel="0" collapsed="false">
      <c r="A2" s="3" t="s">
        <v>9</v>
      </c>
      <c r="B2" s="3" t="s">
        <v>25</v>
      </c>
      <c r="C2" s="3" t="s">
        <v>26</v>
      </c>
    </row>
    <row r="3" customFormat="false" ht="15" hidden="false" customHeight="false" outlineLevel="0" collapsed="false">
      <c r="A3" s="3" t="s">
        <v>14</v>
      </c>
      <c r="B3" s="3" t="s">
        <v>27</v>
      </c>
      <c r="C3" s="3" t="s">
        <v>28</v>
      </c>
    </row>
    <row r="4" customFormat="false" ht="15" hidden="false" customHeight="false" outlineLevel="0" collapsed="false">
      <c r="A4" s="3" t="s">
        <v>18</v>
      </c>
      <c r="B4" s="3" t="s">
        <v>29</v>
      </c>
      <c r="C4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2026-10-20T04:06:59Z</dcterms:created>
  <dc:creator>openpyxl</dc:creator>
  <dc:description/>
  <dc:language>en-US</dc:language>
  <cp:lastModifiedBy/>
  <dcterms:modified xsi:type="dcterms:W3CDTF">2026-10-20T04:06:59Z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